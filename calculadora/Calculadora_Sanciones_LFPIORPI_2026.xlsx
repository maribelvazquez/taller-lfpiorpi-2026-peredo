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TABLA SANCIONES" sheetId="2" state="visible" r:id="rId4"/>
    <sheet name="CALCULADORA" sheetId="3" state="visible" r:id="rId5"/>
    <sheet name="UMBRALES ART. 17" sheetId="4" state="visible" r:id="rId6"/>
  </sheets>
  <definedNames>
    <definedName function="false" hidden="false" name="ART55" vbProcedure="false">CONFIG!$C$14</definedName>
    <definedName function="false" hidden="false" name="N1_MAX" vbProcedure="false">CONFIG!$C$7</definedName>
    <definedName function="false" hidden="false" name="N1_MIN" vbProcedure="false">CONFIG!$C$6</definedName>
    <definedName function="false" hidden="false" name="N2_MAX" vbProcedure="false">CONFIG!$C$9</definedName>
    <definedName function="false" hidden="false" name="N2_MIN" vbProcedure="false">CONFIG!$C$8</definedName>
    <definedName function="false" hidden="false" name="N3_MAX" vbProcedure="false">CONFIG!$C$11</definedName>
    <definedName function="false" hidden="false" name="N3_MIN" vbProcedure="false">CONFIG!$C$10</definedName>
    <definedName function="false" hidden="false" name="N3_PMAX" vbProcedure="false">CONFIG!$C$13</definedName>
    <definedName function="false" hidden="false" name="N3_PMIN" vbProcedure="false">CONFIG!$C$12</definedName>
    <definedName function="false" hidden="false" name="UMA" vbProcedure="false">CONFIG!$C$5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<sst xmlns="http://schemas.openxmlformats.org/spreadsheetml/2006/main" count="162" uniqueCount="130">
  <si>
    <t xml:space="preserve">CALCULADORA DE SANCIONES LFPIORPI 2026 — CONSORCIO PEREDO</t>
  </si>
  <si>
    <t xml:space="preserve">Parámetros Base  ·  Fuente: LFPIORPI DOF 16-07-2025  ·  Art. 54</t>
  </si>
  <si>
    <t xml:space="preserve">PARÁMETRO</t>
  </si>
  <si>
    <t xml:space="preserve">VALOR</t>
  </si>
  <si>
    <t xml:space="preserve">UNIDAD</t>
  </si>
  <si>
    <t xml:space="preserve">FUENTE / NOTA</t>
  </si>
  <si>
    <t xml:space="preserve">UMA diaria 2026</t>
  </si>
  <si>
    <t xml:space="preserve">$MXN/día</t>
  </si>
  <si>
    <t xml:space="preserve">INEGI — vigente 2026</t>
  </si>
  <si>
    <t xml:space="preserve">Nivel 1 — mínimo (UMA)</t>
  </si>
  <si>
    <t xml:space="preserve">UMA</t>
  </si>
  <si>
    <t xml:space="preserve">Art. 54, Fracc. I LFPIORPI</t>
  </si>
  <si>
    <t xml:space="preserve">Nivel 1 — máximo (UMA)</t>
  </si>
  <si>
    <t xml:space="preserve">Nivel 2 — mínimo (UMA)</t>
  </si>
  <si>
    <t xml:space="preserve">Art. 54, Fracc. II LFPIORPI</t>
  </si>
  <si>
    <t xml:space="preserve">Nivel 2 — máximo (UMA)</t>
  </si>
  <si>
    <t xml:space="preserve">Nivel 3 — mínimo (UMA)</t>
  </si>
  <si>
    <t xml:space="preserve">Art. 54, Fracc. III LFPIORPI</t>
  </si>
  <si>
    <t xml:space="preserve">Nivel 3 — máximo (UMA)</t>
  </si>
  <si>
    <t xml:space="preserve">Nivel 3 — % mínimo operación</t>
  </si>
  <si>
    <t xml:space="preserve">%</t>
  </si>
  <si>
    <t xml:space="preserve">Nivel 3 — % máximo operación</t>
  </si>
  <si>
    <t xml:space="preserve">Reducción Art. 55 (espontáneo subsecuente)</t>
  </si>
  <si>
    <t xml:space="preserve">Art. 55 LFPIORPI — 2ª+ ocasión</t>
  </si>
  <si>
    <t xml:space="preserve">★ Celdas en AZUL OSCURO son los únicos valores a actualizar cuando cambie la UMA. Todos los demás cálculos de esta calculadora se actualizan automáticamente.</t>
  </si>
  <si>
    <t xml:space="preserve">TABLA DE SANCIONES — Art. 53 y 54 LFPIORPI  ·  Referencia rápida  ·  UMA 2026 = $117.31/día</t>
  </si>
  <si>
    <t xml:space="preserve">NIVEL</t>
  </si>
  <si>
    <t xml:space="preserve">INFRACCIÓN (Art. 53)</t>
  </si>
  <si>
    <t xml:space="preserve">MÍN (UMA)</t>
  </si>
  <si>
    <t xml:space="preserve">MÁX (UMA)</t>
  </si>
  <si>
    <t xml:space="preserve">MÍNIMO EN PESOS</t>
  </si>
  <si>
    <t xml:space="preserve">MÁXIMO EN PESOS</t>
  </si>
  <si>
    <t xml:space="preserve">OBSERVACIÓN CLAVE</t>
  </si>
  <si>
    <t xml:space="preserve">Nivel 1</t>
  </si>
  <si>
    <t xml:space="preserve">Art. 53 Fracc. I — Negativa a cumplir requerimientos de la SHCP</t>
  </si>
  <si>
    <t xml:space="preserve">Por cada requerimiento incumplido</t>
  </si>
  <si>
    <t xml:space="preserve">Art. 53 Fracc. II — Incumplimiento de obligaciones del Art. 18 (identificación, expediente, aviso, etc.)</t>
  </si>
  <si>
    <t xml:space="preserve">Por cada obligación incumplida</t>
  </si>
  <si>
    <t xml:space="preserve">Art. 53 Fracc. III — Aviso extemporáneo (entre 1 y 30 días de retraso)</t>
  </si>
  <si>
    <t xml:space="preserve">El retraso no excede 30 días</t>
  </si>
  <si>
    <t xml:space="preserve">Art. 53 Fracc. IV — Aviso con errores de forma o sin requisitos</t>
  </si>
  <si>
    <t xml:space="preserve">Por cada aviso con defectos formales</t>
  </si>
  <si>
    <t xml:space="preserve">Nivel 2</t>
  </si>
  <si>
    <t xml:space="preserve">Art. 53 Fracc. V — Incumplimiento en identificación y registro del Beneficiario Controlador (Arts. 33, 33 Bis, 33 Ter)</t>
  </si>
  <si>
    <t xml:space="preserve">Nueva prioridad de fiscalización SHCP 2025</t>
  </si>
  <si>
    <t xml:space="preserve">Nivel 3</t>
  </si>
  <si>
    <t xml:space="preserve">Art. 53 Fracc. VI — Omisión total de aviso O retraso mayor a 30 días</t>
  </si>
  <si>
    <t xml:space="preserve">O 10%–100% del valor de la op., lo que resulte MAYOR</t>
  </si>
  <si>
    <t xml:space="preserve">Art. 53 Fracc. VII — Operaciones prohibidas con efectivo o metales (Art. 32)</t>
  </si>
  <si>
    <t xml:space="preserve">Art. 54 Bis (NUEVO 2025): Adicionalmente, la SHCP puede ordenar SUSPENSIÓN TEMPORAL de operaciones con clientes específicos mientras dure el procedimiento de verificación.</t>
  </si>
  <si>
    <t xml:space="preserve">Art. 55 — Cumplimiento espontáneo ANTES de que la SHCP inicie verificación: 1ª ocasión = 100% de condonación  |  Ocasiones subsecuentes = 50% de reducción sobre la multa calculada.</t>
  </si>
  <si>
    <t xml:space="preserve">CALCULADORA INTERACTIVA DE SANCIONES  ·  LFPIORPI 2026</t>
  </si>
  <si>
    <t xml:space="preserve">Complete las celdas en AMARILLO. Los resultados se calculan automáticamente.</t>
  </si>
  <si>
    <t xml:space="preserve">A  |  DATOS DE LA OPERACIÓN</t>
  </si>
  <si>
    <t xml:space="preserve">Empresa del grupo involucrada</t>
  </si>
  <si>
    <t xml:space="preserve">ÁBACO / DINAMO / Otra</t>
  </si>
  <si>
    <t xml:space="preserve">Tipo de infracción (ver menú)</t>
  </si>
  <si>
    <t xml:space="preserve">Seleccionar</t>
  </si>
  <si>
    <t xml:space="preserve">Número de infracciones del mismo tipo</t>
  </si>
  <si>
    <t xml:space="preserve">Valor total de la operación no reportada o prohibida ($MXN)</t>
  </si>
  <si>
    <t xml:space="preserve">¿Es la 1ª vez que se regulariza espontáneamente? (SÍ / NO)</t>
  </si>
  <si>
    <t xml:space="preserve">SÍ</t>
  </si>
  <si>
    <t xml:space="preserve">¿Se está regularizando ANTES de que la SHCP inicie verificación? (SÍ / NO)</t>
  </si>
  <si>
    <t xml:space="preserve">B  |  NIVEL Y RANGO BASE DE SANCIÓN</t>
  </si>
  <si>
    <t xml:space="preserve">Nivel detectado automáticamente</t>
  </si>
  <si>
    <t xml:space="preserve">CONCEPTO</t>
  </si>
  <si>
    <t xml:space="preserve">MÍNIMO (UMA)</t>
  </si>
  <si>
    <t xml:space="preserve">MÁXIMO (UMA)</t>
  </si>
  <si>
    <t xml:space="preserve">MÍNIMO ($MXN)</t>
  </si>
  <si>
    <t xml:space="preserve">MÁXIMO ($MXN)</t>
  </si>
  <si>
    <t xml:space="preserve">Rango por infracción (Art. 54)</t>
  </si>
  <si>
    <t xml:space="preserve">Nivel 3: comparativo % del valor de la operación</t>
  </si>
  <si>
    <t xml:space="preserve">C  |  CÁLCULO TOTAL (considerando número de infracciones)</t>
  </si>
  <si>
    <t xml:space="preserve">CANTIDAD</t>
  </si>
  <si>
    <t xml:space="preserve">MULTA MÍNIMA TOTAL</t>
  </si>
  <si>
    <t xml:space="preserve">MULTA MÁXIMA TOTAL</t>
  </si>
  <si>
    <t xml:space="preserve">Multa base por infracción (Art. 54)</t>
  </si>
  <si>
    <t xml:space="preserve">×1</t>
  </si>
  <si>
    <t xml:space="preserve">Número de infracciones ingresadas</t>
  </si>
  <si>
    <t xml:space="preserve">D  |  EFECTO DEL CUMPLIMIENTO ESPONTÁNEO (Art. 55)</t>
  </si>
  <si>
    <t xml:space="preserve">ESCENARIO</t>
  </si>
  <si>
    <t xml:space="preserve">CONDICIÓN</t>
  </si>
  <si>
    <t xml:space="preserve">MULTA MÍNIMA EFECTIVA</t>
  </si>
  <si>
    <t xml:space="preserve">MULTA MÁXIMA EFECTIVA</t>
  </si>
  <si>
    <t xml:space="preserve">Sin regularizar (SHCP detecta)</t>
  </si>
  <si>
    <t xml:space="preserve">No aplica Art. 55</t>
  </si>
  <si>
    <t xml:space="preserve">Art. 55 — 1ª ocasión espontánea</t>
  </si>
  <si>
    <t xml:space="preserve">Art. 55 — Subsecuentes espontáneas</t>
  </si>
  <si>
    <t xml:space="preserve">E  |  RESUMEN EJECUTIVO</t>
  </si>
  <si>
    <t xml:space="preserve">MULTA MÍNIMA</t>
  </si>
  <si>
    <t xml:space="preserve">MULTA MÁXIMA</t>
  </si>
  <si>
    <t xml:space="preserve">Escenario A — SHCP detecta (sin Art. 55)</t>
  </si>
  <si>
    <t xml:space="preserve">Escenario B — Art. 55, 1ª vez espontáneo</t>
  </si>
  <si>
    <t xml:space="preserve">Escenario C — Art. 55, subsecuente</t>
  </si>
  <si>
    <t xml:space="preserve">Fuente: Art. 53, 54, 54 Bis, 55 LFPIORPI — DOF 16-07-2025  ·  UMA 2026 = $117.31/día  ·  Calculadora elaborada por GMC360 / 360EDUCA — Maribel Vázquez Menchaca</t>
  </si>
  <si>
    <t xml:space="preserve">UMBRALES DE IDENTIFICACIÓN, AVISO Y PROHIBICIÓN — Art. 17 LFPIORPI  ·  UMA 2026 = $117.31/día</t>
  </si>
  <si>
    <t xml:space="preserve">FRACC.</t>
  </si>
  <si>
    <t xml:space="preserve">ACTIVIDAD</t>
  </si>
  <si>
    <t xml:space="preserve">IDENTIFICACIÓN (UMA)</t>
  </si>
  <si>
    <t xml:space="preserve">AVISO (UMA)</t>
  </si>
  <si>
    <t xml:space="preserve">IDENTIFICACIÓN ($MXN)</t>
  </si>
  <si>
    <t xml:space="preserve">AVISO ($MXN)</t>
  </si>
  <si>
    <t xml:space="preserve">PROHIB. EFECTIVO</t>
  </si>
  <si>
    <t xml:space="preserve">II</t>
  </si>
  <si>
    <t xml:space="preserve">Tarjetas de crédito/servicios (gasto mensual)</t>
  </si>
  <si>
    <t xml:space="preserve">≥ 805 UMA/mes</t>
  </si>
  <si>
    <t xml:space="preserve">≥ 1,285 UMA/mes</t>
  </si>
  <si>
    <t xml:space="preserve">No aplica específicamente</t>
  </si>
  <si>
    <t xml:space="preserve">Tarjetas prepagadas y monederos electrónicos (por operación)</t>
  </si>
  <si>
    <t xml:space="preserve">≥ 645 UMA/op</t>
  </si>
  <si>
    <t xml:space="preserve">IV</t>
  </si>
  <si>
    <t xml:space="preserve">Mutuo, garantía, crédito y préstamos (no entidades financieras)</t>
  </si>
  <si>
    <t xml:space="preserve">Toda op. habitual</t>
  </si>
  <si>
    <t xml:space="preserve">≥ 1,605 UMA</t>
  </si>
  <si>
    <t xml:space="preserve">V</t>
  </si>
  <si>
    <t xml:space="preserve">Construcción, desarrollo e intermediación de inmuebles</t>
  </si>
  <si>
    <t xml:space="preserve">≥ 8,025 UMA</t>
  </si>
  <si>
    <t xml:space="preserve">V Bis</t>
  </si>
  <si>
    <t xml:space="preserve">Desarrollo inmobiliario — recepción de recursos (NUEVA 2025)</t>
  </si>
  <si>
    <t xml:space="preserve">Toda recepción</t>
  </si>
  <si>
    <t xml:space="preserve">VIII</t>
  </si>
  <si>
    <t xml:space="preserve">Vehículos — ÁBACO (autos) · DINAMO (motos)</t>
  </si>
  <si>
    <t xml:space="preserve">≥ 3,210 UMA</t>
  </si>
  <si>
    <t xml:space="preserve">≥ 6,420 UMA</t>
  </si>
  <si>
    <t xml:space="preserve">≥ 3,210 UMA (Art. 32)</t>
  </si>
  <si>
    <t xml:space="preserve">XV</t>
  </si>
  <si>
    <t xml:space="preserve">Arrendamiento de inmuebles</t>
  </si>
  <si>
    <t xml:space="preserve">&gt; 1,605 UMA/mes</t>
  </si>
  <si>
    <t xml:space="preserve">≥ 3,210 UMA/mes</t>
  </si>
  <si>
    <t xml:space="preserve">★ Los valores en $MXN se recalculan automáticamente si se actualiza la UMA en la hoja CONFIG (celda C5).  Fuente: Art. 17 LFPIORPI DOF 16-07-2025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</si>
</sst>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5B48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7F1D1D"/>
      <name val="Arial"/>
      <family val="0"/>
      <charset val="1"/>
    </font>
    <font>
      <i val="true"/>
      <sz val="9"/>
      <color rgb="FF8B0000"/>
      <name val="Arial"/>
      <family val="0"/>
      <charset val="1"/>
    </font>
    <font>
      <i val="true"/>
      <sz val="9"/>
      <color rgb="FF1665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8B"/>
      <name val="Arial"/>
      <family val="0"/>
      <charset val="1"/>
    </font>
    <font>
      <b val="true"/>
      <sz val="12"/>
      <color rgb="FFD977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1D1D"/>
      <name val="Arial"/>
      <family val="0"/>
      <charset val="1"/>
    </font>
    <font>
      <sz val="10"/>
      <color rgb="FF166534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color rgb="FFD9770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0D2137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66666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7F1D1D"/>
        <bgColor rgb="FF800000"/>
      </patternFill>
    </fill>
    <fill>
      <patternFill patternType="solid">
        <fgColor rgb="FF0D2137"/>
        <bgColor rgb="FF1C3557"/>
      </patternFill>
    </fill>
    <fill>
      <patternFill patternType="solid">
        <fgColor rgb="FF1C3557"/>
        <bgColor rgb="FF0D2137"/>
      </patternFill>
    </fill>
    <fill>
      <patternFill patternType="solid">
        <fgColor rgb="FFF5F7FA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FFBEB"/>
        <bgColor rgb="FFFAFAFA"/>
      </patternFill>
    </fill>
    <fill>
      <patternFill patternType="solid">
        <fgColor rgb="FFFEF9C3"/>
        <bgColor rgb="FFFFFBEB"/>
      </patternFill>
    </fill>
    <fill>
      <patternFill patternType="solid">
        <fgColor rgb="FFFAFAFA"/>
        <bgColor rgb="FFF5F7FA"/>
      </patternFill>
    </fill>
    <fill>
      <patternFill patternType="solid">
        <fgColor rgb="FFFEF2F2"/>
        <bgColor rgb="FFFFF0F0"/>
      </patternFill>
    </fill>
    <fill>
      <patternFill patternType="solid">
        <fgColor rgb="FFFFF0F0"/>
        <bgColor rgb="FFFEF2F2"/>
      </patternFill>
    </fill>
    <fill>
      <patternFill patternType="solid">
        <fgColor rgb="FFDCFCE7"/>
        <bgColor rgb="FFF5F7FA"/>
      </patternFill>
    </fill>
    <fill>
      <patternFill patternType="solid">
        <fgColor rgb="FFC0392B"/>
        <bgColor rgb="FF993366"/>
      </patternFill>
    </fill>
    <fill>
      <patternFill patternType="solid">
        <fgColor rgb="FF0E749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66534"/>
      <rgbColor rgb="FF00008B"/>
      <rgbColor rgb="FF808000"/>
      <rgbColor rgb="FF800080"/>
      <rgbColor rgb="FF0E7490"/>
      <rgbColor rgb="FFCCCCCC"/>
      <rgbColor rgb="FF888888"/>
      <rgbColor rgb="FF9999FF"/>
      <rgbColor rgb="FFC0392B"/>
      <rgbColor rgb="FFFEF9C3"/>
      <rgbColor rgb="FFDCFCE7"/>
      <rgbColor rgb="FF660066"/>
      <rgbColor rgb="FFFF8080"/>
      <rgbColor rgb="FF0066CC"/>
      <rgbColor rgb="FFFF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FAFAFA"/>
      <rgbColor rgb="FFFFFBEB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F9900"/>
      <rgbColor rgb="FFD97706"/>
      <rgbColor rgb="FF666666"/>
      <rgbColor rgb="FF969696"/>
      <rgbColor rgb="FF1C3557"/>
      <rgbColor rgb="FF339966"/>
      <rgbColor rgb="FF0D2137"/>
      <rgbColor rgb="FF5B4800"/>
      <rgbColor rgb="FF7F1D1D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31.5" hidden="false" customHeight="true" outlineLevel="0" collapsed="false">
      <c r="B1" s="1" t="s">
        <v>0</v>
      </c>
      <c r="C1" s="1"/>
      <c r="D1" s="1"/>
      <c r="E1" s="1"/>
    </row>
    <row r="2" customFormat="false" ht="18" hidden="false" customHeight="true" outlineLevel="0" collapsed="false">
      <c r="B2" s="2" t="s">
        <v>1</v>
      </c>
      <c r="C2" s="2"/>
      <c r="D2" s="2"/>
      <c r="E2" s="2"/>
    </row>
    <row r="3" customFormat="false" ht="9.75" hidden="false" customHeight="true" outlineLevel="0" collapsed="false"/>
    <row r="4" customFormat="false" ht="21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8" hidden="false" customHeight="true" outlineLevel="0" collapsed="false">
      <c r="B5" s="4" t="s">
        <v>6</v>
      </c>
      <c r="C5" s="5" t="n">
        <v>117.31</v>
      </c>
      <c r="D5" s="6" t="s">
        <v>7</v>
      </c>
      <c r="E5" s="7" t="s">
        <v>8</v>
      </c>
    </row>
    <row r="6" customFormat="false" ht="18" hidden="false" customHeight="true" outlineLevel="0" collapsed="false">
      <c r="B6" s="8" t="s">
        <v>9</v>
      </c>
      <c r="C6" s="9" t="n">
        <v>200</v>
      </c>
      <c r="D6" s="10" t="s">
        <v>10</v>
      </c>
      <c r="E6" s="11" t="s">
        <v>11</v>
      </c>
    </row>
    <row r="7" customFormat="false" ht="18" hidden="false" customHeight="true" outlineLevel="0" collapsed="false">
      <c r="B7" s="4" t="s">
        <v>12</v>
      </c>
      <c r="C7" s="12" t="n">
        <v>2000</v>
      </c>
      <c r="D7" s="6" t="s">
        <v>10</v>
      </c>
      <c r="E7" s="7" t="s">
        <v>11</v>
      </c>
    </row>
    <row r="8" customFormat="false" ht="18" hidden="false" customHeight="true" outlineLevel="0" collapsed="false">
      <c r="B8" s="8" t="s">
        <v>13</v>
      </c>
      <c r="C8" s="9" t="n">
        <v>2000</v>
      </c>
      <c r="D8" s="10" t="s">
        <v>10</v>
      </c>
      <c r="E8" s="11" t="s">
        <v>14</v>
      </c>
    </row>
    <row r="9" customFormat="false" ht="18" hidden="false" customHeight="true" outlineLevel="0" collapsed="false">
      <c r="B9" s="4" t="s">
        <v>15</v>
      </c>
      <c r="C9" s="12" t="n">
        <v>10000</v>
      </c>
      <c r="D9" s="6" t="s">
        <v>10</v>
      </c>
      <c r="E9" s="7" t="s">
        <v>14</v>
      </c>
    </row>
    <row r="10" customFormat="false" ht="18" hidden="false" customHeight="true" outlineLevel="0" collapsed="false">
      <c r="B10" s="8" t="s">
        <v>16</v>
      </c>
      <c r="C10" s="9" t="n">
        <v>10000</v>
      </c>
      <c r="D10" s="10" t="s">
        <v>10</v>
      </c>
      <c r="E10" s="11" t="s">
        <v>17</v>
      </c>
    </row>
    <row r="11" customFormat="false" ht="18" hidden="false" customHeight="true" outlineLevel="0" collapsed="false">
      <c r="B11" s="4" t="s">
        <v>18</v>
      </c>
      <c r="C11" s="12" t="n">
        <v>65000</v>
      </c>
      <c r="D11" s="6" t="s">
        <v>10</v>
      </c>
      <c r="E11" s="7" t="s">
        <v>17</v>
      </c>
    </row>
    <row r="12" customFormat="false" ht="18" hidden="false" customHeight="true" outlineLevel="0" collapsed="false">
      <c r="B12" s="8" t="s">
        <v>19</v>
      </c>
      <c r="C12" s="9" t="n">
        <v>10</v>
      </c>
      <c r="D12" s="10" t="s">
        <v>20</v>
      </c>
      <c r="E12" s="11" t="s">
        <v>17</v>
      </c>
    </row>
    <row r="13" customFormat="false" ht="18" hidden="false" customHeight="true" outlineLevel="0" collapsed="false">
      <c r="B13" s="4" t="s">
        <v>21</v>
      </c>
      <c r="C13" s="12" t="n">
        <v>100</v>
      </c>
      <c r="D13" s="6" t="s">
        <v>20</v>
      </c>
      <c r="E13" s="7" t="s">
        <v>17</v>
      </c>
    </row>
    <row r="14" customFormat="false" ht="18" hidden="false" customHeight="true" outlineLevel="0" collapsed="false">
      <c r="B14" s="8" t="s">
        <v>22</v>
      </c>
      <c r="C14" s="9" t="n">
        <v>50</v>
      </c>
      <c r="D14" s="10" t="s">
        <v>20</v>
      </c>
      <c r="E14" s="11" t="s">
        <v>23</v>
      </c>
    </row>
    <row r="15" customFormat="false" ht="9.75" hidden="false" customHeight="true" outlineLevel="0" collapsed="false"/>
    <row r="16" customFormat="false" ht="27.75" hidden="false" customHeight="true" outlineLevel="0" collapsed="false">
      <c r="B16" s="13" t="s">
        <v>24</v>
      </c>
      <c r="C16" s="13"/>
      <c r="D16" s="13"/>
      <c r="E16" s="13"/>
    </row>
  </sheetData>
  <mergeCells count="3">
    <mergeCell ref="B1:E1"/>
    <mergeCell ref="B2:E2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5" min="4" style="0" width="16"/>
    <col collapsed="false" customWidth="true" hidden="false" outlineLevel="0" max="7" min="6" style="0" width="20"/>
    <col collapsed="false" customWidth="true" hidden="false" outlineLevel="0" max="8" min="8" style="0" width="28"/>
  </cols>
  <sheetData>
    <row r="1" customFormat="false" ht="30" hidden="false" customHeight="true" outlineLevel="0" collapsed="false">
      <c r="B1" s="14" t="s">
        <v>25</v>
      </c>
      <c r="C1" s="14"/>
      <c r="D1" s="14"/>
      <c r="E1" s="14"/>
      <c r="F1" s="14"/>
      <c r="G1" s="14"/>
      <c r="H1" s="14"/>
    </row>
    <row r="2" customFormat="false" ht="7.5" hidden="false" customHeight="true" outlineLevel="0" collapsed="false"/>
    <row r="3" customFormat="false" ht="24" hidden="false" customHeight="true" outlineLevel="0" collapsed="false"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  <c r="G3" s="15" t="s">
        <v>31</v>
      </c>
      <c r="H3" s="15" t="s">
        <v>32</v>
      </c>
    </row>
    <row r="4" customFormat="false" ht="36" hidden="false" customHeight="true" outlineLevel="0" collapsed="false">
      <c r="B4" s="16" t="s">
        <v>33</v>
      </c>
      <c r="C4" s="17" t="s">
        <v>34</v>
      </c>
      <c r="D4" s="18" t="n">
        <f aca="false">N1_MIN</f>
        <v>200</v>
      </c>
      <c r="E4" s="18" t="n">
        <f aca="false">N1_MAX</f>
        <v>2000</v>
      </c>
      <c r="F4" s="19" t="n">
        <f aca="false">N1_MIN*UMA</f>
        <v>23462</v>
      </c>
      <c r="G4" s="20" t="n">
        <f aca="false">N1_MAX*UMA</f>
        <v>234620</v>
      </c>
      <c r="H4" s="21" t="s">
        <v>35</v>
      </c>
    </row>
    <row r="5" customFormat="false" ht="36" hidden="false" customHeight="true" outlineLevel="0" collapsed="false">
      <c r="B5" s="16" t="s">
        <v>33</v>
      </c>
      <c r="C5" s="8" t="s">
        <v>36</v>
      </c>
      <c r="D5" s="22" t="n">
        <f aca="false">N1_MIN</f>
        <v>200</v>
      </c>
      <c r="E5" s="22" t="n">
        <f aca="false">N1_MAX</f>
        <v>2000</v>
      </c>
      <c r="F5" s="23" t="n">
        <f aca="false">N1_MIN*UMA</f>
        <v>23462</v>
      </c>
      <c r="G5" s="24" t="n">
        <f aca="false">N1_MAX*UMA</f>
        <v>234620</v>
      </c>
      <c r="H5" s="25" t="s">
        <v>37</v>
      </c>
    </row>
    <row r="6" customFormat="false" ht="36" hidden="false" customHeight="true" outlineLevel="0" collapsed="false">
      <c r="B6" s="16" t="s">
        <v>33</v>
      </c>
      <c r="C6" s="17" t="s">
        <v>38</v>
      </c>
      <c r="D6" s="18" t="n">
        <f aca="false">N1_MIN</f>
        <v>200</v>
      </c>
      <c r="E6" s="18" t="n">
        <f aca="false">N1_MAX</f>
        <v>2000</v>
      </c>
      <c r="F6" s="19" t="n">
        <f aca="false">N1_MIN*UMA</f>
        <v>23462</v>
      </c>
      <c r="G6" s="20" t="n">
        <f aca="false">N1_MAX*UMA</f>
        <v>234620</v>
      </c>
      <c r="H6" s="21" t="s">
        <v>39</v>
      </c>
    </row>
    <row r="7" customFormat="false" ht="36" hidden="false" customHeight="true" outlineLevel="0" collapsed="false">
      <c r="B7" s="16" t="s">
        <v>33</v>
      </c>
      <c r="C7" s="8" t="s">
        <v>40</v>
      </c>
      <c r="D7" s="22" t="n">
        <f aca="false">N1_MIN</f>
        <v>200</v>
      </c>
      <c r="E7" s="22" t="n">
        <f aca="false">N1_MAX</f>
        <v>2000</v>
      </c>
      <c r="F7" s="23" t="n">
        <f aca="false">N1_MIN*UMA</f>
        <v>23462</v>
      </c>
      <c r="G7" s="24" t="n">
        <f aca="false">N1_MAX*UMA</f>
        <v>234620</v>
      </c>
      <c r="H7" s="25" t="s">
        <v>41</v>
      </c>
    </row>
    <row r="8" customFormat="false" ht="36" hidden="false" customHeight="true" outlineLevel="0" collapsed="false">
      <c r="B8" s="26" t="s">
        <v>42</v>
      </c>
      <c r="C8" s="17" t="s">
        <v>43</v>
      </c>
      <c r="D8" s="18" t="n">
        <f aca="false">N2_MIN</f>
        <v>2000</v>
      </c>
      <c r="E8" s="18" t="n">
        <f aca="false">N2_MAX</f>
        <v>10000</v>
      </c>
      <c r="F8" s="19" t="n">
        <f aca="false">N2_MIN*UMA</f>
        <v>234620</v>
      </c>
      <c r="G8" s="27" t="n">
        <f aca="false">N2_MAX*UMA</f>
        <v>1173100</v>
      </c>
      <c r="H8" s="21" t="s">
        <v>44</v>
      </c>
    </row>
    <row r="9" customFormat="false" ht="36" hidden="false" customHeight="true" outlineLevel="0" collapsed="false">
      <c r="B9" s="28" t="s">
        <v>45</v>
      </c>
      <c r="C9" s="8" t="s">
        <v>46</v>
      </c>
      <c r="D9" s="22" t="n">
        <f aca="false">N3_MIN</f>
        <v>10000</v>
      </c>
      <c r="E9" s="22" t="n">
        <f aca="false">N3_MAX</f>
        <v>65000</v>
      </c>
      <c r="F9" s="23" t="n">
        <f aca="false">N3_MIN*UMA</f>
        <v>1173100</v>
      </c>
      <c r="G9" s="29" t="n">
        <f aca="false">N3_MAX*UMA</f>
        <v>7625150</v>
      </c>
      <c r="H9" s="25" t="s">
        <v>47</v>
      </c>
    </row>
    <row r="10" customFormat="false" ht="36" hidden="false" customHeight="true" outlineLevel="0" collapsed="false">
      <c r="B10" s="28" t="s">
        <v>45</v>
      </c>
      <c r="C10" s="17" t="s">
        <v>48</v>
      </c>
      <c r="D10" s="18" t="n">
        <f aca="false">N3_MIN</f>
        <v>10000</v>
      </c>
      <c r="E10" s="18" t="n">
        <f aca="false">N3_MAX</f>
        <v>65000</v>
      </c>
      <c r="F10" s="19" t="n">
        <f aca="false">N3_MIN*UMA</f>
        <v>1173100</v>
      </c>
      <c r="G10" s="30" t="n">
        <f aca="false">N3_MAX*UMA</f>
        <v>7625150</v>
      </c>
      <c r="H10" s="21" t="s">
        <v>47</v>
      </c>
    </row>
    <row r="12" customFormat="false" ht="27.75" hidden="false" customHeight="true" outlineLevel="0" collapsed="false">
      <c r="B12" s="31" t="s">
        <v>49</v>
      </c>
      <c r="C12" s="31"/>
      <c r="D12" s="31"/>
      <c r="E12" s="31"/>
      <c r="F12" s="31"/>
      <c r="G12" s="31"/>
      <c r="H12" s="31"/>
    </row>
    <row r="13" customFormat="false" ht="27.75" hidden="false" customHeight="true" outlineLevel="0" collapsed="false">
      <c r="B13" s="32" t="s">
        <v>50</v>
      </c>
      <c r="C13" s="32"/>
      <c r="D13" s="32"/>
      <c r="E13" s="32"/>
      <c r="F13" s="32"/>
      <c r="G13" s="32"/>
      <c r="H13" s="32"/>
    </row>
  </sheetData>
  <mergeCells count="3">
    <mergeCell ref="B1:H1"/>
    <mergeCell ref="B12:H1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22"/>
    <col collapsed="false" customWidth="true" hidden="false" outlineLevel="0" max="6" min="6" style="0" width="24"/>
  </cols>
  <sheetData>
    <row r="1" customFormat="false" ht="31.5" hidden="false" customHeight="true" outlineLevel="0" collapsed="false">
      <c r="B1" s="1" t="s">
        <v>51</v>
      </c>
      <c r="C1" s="1"/>
      <c r="D1" s="1"/>
      <c r="E1" s="1"/>
      <c r="F1" s="1"/>
    </row>
    <row r="2" customFormat="false" ht="18" hidden="false" customHeight="true" outlineLevel="0" collapsed="false">
      <c r="B2" s="33" t="s">
        <v>52</v>
      </c>
      <c r="C2" s="33"/>
      <c r="D2" s="33"/>
      <c r="E2" s="33"/>
      <c r="F2" s="33"/>
    </row>
    <row r="3" customFormat="false" ht="7.5" hidden="false" customHeight="true" outlineLevel="0" collapsed="false"/>
    <row r="4" customFormat="false" ht="21.75" hidden="false" customHeight="true" outlineLevel="0" collapsed="false">
      <c r="B4" s="34" t="s">
        <v>53</v>
      </c>
      <c r="C4" s="34"/>
      <c r="D4" s="34"/>
      <c r="E4" s="34"/>
      <c r="F4" s="34"/>
    </row>
    <row r="5" customFormat="false" ht="21.75" hidden="false" customHeight="true" outlineLevel="0" collapsed="false">
      <c r="B5" s="4" t="s">
        <v>54</v>
      </c>
      <c r="C5" s="35" t="s">
        <v>55</v>
      </c>
      <c r="D5" s="35"/>
      <c r="E5" s="35"/>
      <c r="F5" s="35"/>
    </row>
    <row r="6" customFormat="false" ht="21.75" hidden="false" customHeight="true" outlineLevel="0" collapsed="false">
      <c r="B6" s="4" t="s">
        <v>56</v>
      </c>
      <c r="C6" s="35" t="s">
        <v>57</v>
      </c>
      <c r="D6" s="35"/>
      <c r="E6" s="35"/>
      <c r="F6" s="35"/>
    </row>
    <row r="7" customFormat="false" ht="21.75" hidden="false" customHeight="true" outlineLevel="0" collapsed="false">
      <c r="B7" s="4" t="s">
        <v>58</v>
      </c>
      <c r="C7" s="36" t="n">
        <v>1</v>
      </c>
      <c r="D7" s="36"/>
      <c r="E7" s="36"/>
      <c r="F7" s="36"/>
    </row>
    <row r="8" customFormat="false" ht="21.75" hidden="false" customHeight="true" outlineLevel="0" collapsed="false">
      <c r="B8" s="4" t="s">
        <v>59</v>
      </c>
      <c r="C8" s="37" t="n">
        <v>0</v>
      </c>
      <c r="D8" s="37"/>
      <c r="E8" s="37"/>
      <c r="F8" s="37"/>
    </row>
    <row r="9" customFormat="false" ht="21.75" hidden="false" customHeight="true" outlineLevel="0" collapsed="false">
      <c r="B9" s="4" t="s">
        <v>60</v>
      </c>
      <c r="C9" s="35" t="s">
        <v>61</v>
      </c>
      <c r="D9" s="35"/>
      <c r="E9" s="35"/>
      <c r="F9" s="35"/>
    </row>
    <row r="10" customFormat="false" ht="21.75" hidden="false" customHeight="true" outlineLevel="0" collapsed="false">
      <c r="B10" s="4" t="s">
        <v>62</v>
      </c>
      <c r="C10" s="35" t="s">
        <v>61</v>
      </c>
      <c r="D10" s="35"/>
      <c r="E10" s="35"/>
      <c r="F10" s="35"/>
    </row>
    <row r="11" customFormat="false" ht="7.5" hidden="false" customHeight="true" outlineLevel="0" collapsed="false"/>
    <row r="12" customFormat="false" ht="21.75" hidden="false" customHeight="true" outlineLevel="0" collapsed="false">
      <c r="B12" s="34" t="s">
        <v>63</v>
      </c>
      <c r="C12" s="34"/>
      <c r="D12" s="34"/>
      <c r="E12" s="34"/>
      <c r="F12" s="34"/>
    </row>
    <row r="13" customFormat="false" ht="24" hidden="false" customHeight="true" outlineLevel="0" collapsed="false">
      <c r="B13" s="4" t="s">
        <v>64</v>
      </c>
      <c r="C13" s="38" t="str">
        <f aca="false">IF(ISNUMBER(SEARCH("Nivel 1",C6)),"Nivel 1",IF(ISNUMBER(SEARCH("Nivel 2",C6)),"Nivel 2",IF(ISNUMBER(SEARCH("Nivel 3",C6)),"Nivel 3","—")))</f>
        <v>—</v>
      </c>
      <c r="D13" s="38"/>
      <c r="E13" s="38"/>
      <c r="F13" s="38"/>
    </row>
    <row r="14" customFormat="false" ht="21.75" hidden="false" customHeight="true" outlineLevel="0" collapsed="false"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</row>
    <row r="15" customFormat="false" ht="19.5" hidden="false" customHeight="true" outlineLevel="0" collapsed="false">
      <c r="B15" s="4" t="s">
        <v>70</v>
      </c>
      <c r="C15" s="22" t="n">
        <f aca="false">IF(ISNUMBER(SEARCH("Nivel 1",C6)),N1_MIN,IF(ISNUMBER(SEARCH("Nivel 2",C6)),N2_MIN,IF(ISNUMBER(SEARCH("Nivel 3",C6)),N3_MIN,0)))</f>
        <v>0</v>
      </c>
      <c r="D15" s="22" t="n">
        <f aca="false">IF(ISNUMBER(SEARCH("Nivel 1",C6)),N1_MAX,IF(ISNUMBER(SEARCH("Nivel 2",C6)),N2_MAX,IF(ISNUMBER(SEARCH("Nivel 3",C6)),N3_MAX,0)))</f>
        <v>0</v>
      </c>
      <c r="E15" s="23" t="n">
        <f aca="false">C15*UMA</f>
        <v>0</v>
      </c>
      <c r="F15" s="39" t="n">
        <f aca="false">D15*UMA</f>
        <v>0</v>
      </c>
    </row>
    <row r="16" customFormat="false" ht="19.5" hidden="false" customHeight="true" outlineLevel="0" collapsed="false">
      <c r="B16" s="4" t="s">
        <v>71</v>
      </c>
      <c r="C16" s="40" t="str">
        <f aca="false">IF(ISNUMBER(SEARCH("Nivel 3",C6)),N3_PMIN&amp;"% del valor","N/A")</f>
        <v>N/A</v>
      </c>
      <c r="D16" s="40" t="str">
        <f aca="false">IF(ISNUMBER(SEARCH("Nivel 3",C6)),N3_PMAX&amp;"% del valor","N/A")</f>
        <v>N/A</v>
      </c>
      <c r="E16" s="41" t="n">
        <f aca="false">IF(ISNUMBER(SEARCH("Nivel 3",C6)),C8*(N3_PMIN/100),0)</f>
        <v>0</v>
      </c>
      <c r="F16" s="42" t="n">
        <f aca="false">IF(ISNUMBER(SEARCH("Nivel 3",C6)),C8*(N3_PMAX/100),0)</f>
        <v>0</v>
      </c>
    </row>
    <row r="17" customFormat="false" ht="7.5" hidden="false" customHeight="true" outlineLevel="0" collapsed="false"/>
    <row r="18" customFormat="false" ht="21.75" hidden="false" customHeight="true" outlineLevel="0" collapsed="false">
      <c r="B18" s="34" t="s">
        <v>72</v>
      </c>
      <c r="C18" s="34"/>
      <c r="D18" s="34"/>
      <c r="E18" s="34"/>
      <c r="F18" s="34"/>
    </row>
    <row r="19" customFormat="false" ht="21.75" hidden="false" customHeight="true" outlineLevel="0" collapsed="false">
      <c r="B19" s="43" t="s">
        <v>65</v>
      </c>
      <c r="C19" s="43" t="s">
        <v>73</v>
      </c>
      <c r="D19" s="44" t="s">
        <v>74</v>
      </c>
      <c r="E19" s="44"/>
      <c r="F19" s="43" t="s">
        <v>75</v>
      </c>
    </row>
    <row r="20" customFormat="false" ht="19.5" hidden="false" customHeight="true" outlineLevel="0" collapsed="false">
      <c r="B20" s="4" t="s">
        <v>76</v>
      </c>
      <c r="C20" s="6" t="s">
        <v>77</v>
      </c>
      <c r="D20" s="45" t="n">
        <f aca="false">IF(ISNUMBER(SEARCH("Nivel 3",C6)),MAX(C15*UMA, C8*(N3_PMIN/100)),C15*UMA)</f>
        <v>0</v>
      </c>
      <c r="E20" s="45"/>
      <c r="F20" s="39" t="n">
        <f aca="false">IF(ISNUMBER(SEARCH("Nivel 3",C6)),MAX(D15*UMA, C8*(N3_PMAX/100)),D15*UMA)</f>
        <v>0</v>
      </c>
    </row>
    <row r="21" customFormat="false" ht="21.75" hidden="false" customHeight="true" outlineLevel="0" collapsed="false">
      <c r="B21" s="4" t="s">
        <v>78</v>
      </c>
      <c r="C21" s="46" t="n">
        <f aca="false">C7</f>
        <v>1</v>
      </c>
      <c r="D21" s="47" t="n">
        <f aca="false">D20*C7</f>
        <v>0</v>
      </c>
      <c r="E21" s="47"/>
      <c r="F21" s="48" t="n">
        <f aca="false">F20*C7</f>
        <v>0</v>
      </c>
    </row>
    <row r="22" customFormat="false" ht="7.5" hidden="false" customHeight="true" outlineLevel="0" collapsed="false"/>
    <row r="23" customFormat="false" ht="21.75" hidden="false" customHeight="true" outlineLevel="0" collapsed="false">
      <c r="B23" s="49" t="s">
        <v>79</v>
      </c>
      <c r="C23" s="49"/>
      <c r="D23" s="49"/>
      <c r="E23" s="49"/>
      <c r="F23" s="49"/>
    </row>
    <row r="24" customFormat="false" ht="21.75" hidden="false" customHeight="true" outlineLevel="0" collapsed="false">
      <c r="B24" s="50" t="s">
        <v>80</v>
      </c>
      <c r="C24" s="50" t="s">
        <v>81</v>
      </c>
      <c r="D24" s="51" t="s">
        <v>82</v>
      </c>
      <c r="E24" s="51"/>
      <c r="F24" s="50" t="s">
        <v>83</v>
      </c>
    </row>
    <row r="25" customFormat="false" ht="21.75" hidden="false" customHeight="true" outlineLevel="0" collapsed="false">
      <c r="B25" s="52" t="s">
        <v>84</v>
      </c>
      <c r="C25" s="53" t="s">
        <v>85</v>
      </c>
      <c r="D25" s="54" t="n">
        <f aca="false">D21</f>
        <v>0</v>
      </c>
      <c r="E25" s="54"/>
      <c r="F25" s="48" t="n">
        <f aca="false">F21</f>
        <v>0</v>
      </c>
    </row>
    <row r="26" customFormat="false" ht="21.75" hidden="false" customHeight="true" outlineLevel="0" collapsed="false">
      <c r="B26" s="8" t="s">
        <v>86</v>
      </c>
      <c r="C26" s="55" t="str">
        <f aca="false">IF(AND(C10="SÍ",C9="SÍ"),"Aplica — 100% condonado","No aplica")</f>
        <v>Aplica — 100% condonado</v>
      </c>
      <c r="D26" s="56" t="n">
        <f aca="false">IF(AND(C10="SÍ",C9="SÍ"),0,D21)</f>
        <v>0</v>
      </c>
      <c r="E26" s="56"/>
      <c r="F26" s="57" t="n">
        <f aca="false">IF(AND(C10="SÍ",C9="SÍ"),0,F21)</f>
        <v>0</v>
      </c>
    </row>
    <row r="27" customFormat="false" ht="21.75" hidden="false" customHeight="true" outlineLevel="0" collapsed="false">
      <c r="B27" s="4" t="s">
        <v>87</v>
      </c>
      <c r="C27" s="58" t="str">
        <f aca="false">IF(AND(C10="SÍ",C9="NO"),"Aplica — 50% de reducción","No aplica")</f>
        <v>No aplica</v>
      </c>
      <c r="D27" s="59" t="n">
        <f aca="false">IF(AND(C10="SÍ",C9="NO"),D21*(1-ART55/100),D21)</f>
        <v>0</v>
      </c>
      <c r="E27" s="59"/>
      <c r="F27" s="60" t="n">
        <f aca="false">IF(AND(C10="SÍ",C9="NO"),F21*(1-ART55/100),F21)</f>
        <v>0</v>
      </c>
    </row>
    <row r="28" customFormat="false" ht="7.5" hidden="false" customHeight="true" outlineLevel="0" collapsed="false"/>
    <row r="29" customFormat="false" ht="21.75" hidden="false" customHeight="true" outlineLevel="0" collapsed="false">
      <c r="B29" s="34" t="s">
        <v>88</v>
      </c>
      <c r="C29" s="34"/>
      <c r="D29" s="34"/>
      <c r="E29" s="34"/>
      <c r="F29" s="34"/>
    </row>
    <row r="30" customFormat="false" ht="24" hidden="false" customHeight="true" outlineLevel="0" collapsed="false">
      <c r="B30" s="61" t="s">
        <v>65</v>
      </c>
      <c r="C30" s="62" t="s">
        <v>89</v>
      </c>
      <c r="D30" s="62"/>
      <c r="E30" s="62" t="s">
        <v>90</v>
      </c>
      <c r="F30" s="62"/>
    </row>
    <row r="31" customFormat="false" ht="24" hidden="false" customHeight="true" outlineLevel="0" collapsed="false">
      <c r="B31" s="52" t="s">
        <v>91</v>
      </c>
      <c r="C31" s="63" t="n">
        <f aca="false">D25</f>
        <v>0</v>
      </c>
      <c r="D31" s="63"/>
      <c r="E31" s="63" t="n">
        <f aca="false">F25</f>
        <v>0</v>
      </c>
      <c r="F31" s="63"/>
    </row>
    <row r="32" customFormat="false" ht="24" hidden="false" customHeight="true" outlineLevel="0" collapsed="false">
      <c r="B32" s="64" t="s">
        <v>92</v>
      </c>
      <c r="C32" s="65" t="n">
        <f aca="false">D26</f>
        <v>0</v>
      </c>
      <c r="D32" s="65"/>
      <c r="E32" s="65" t="n">
        <f aca="false">F26</f>
        <v>0</v>
      </c>
      <c r="F32" s="65"/>
    </row>
    <row r="33" customFormat="false" ht="24" hidden="false" customHeight="true" outlineLevel="0" collapsed="false">
      <c r="B33" s="52" t="s">
        <v>93</v>
      </c>
      <c r="C33" s="66" t="n">
        <f aca="false">D27</f>
        <v>0</v>
      </c>
      <c r="D33" s="66"/>
      <c r="E33" s="66" t="n">
        <f aca="false">F27</f>
        <v>0</v>
      </c>
      <c r="F33" s="66"/>
    </row>
    <row r="34" customFormat="false" ht="7.5" hidden="false" customHeight="true" outlineLevel="0" collapsed="false"/>
    <row r="35" customFormat="false" ht="18" hidden="false" customHeight="true" outlineLevel="0" collapsed="false">
      <c r="B35" s="67" t="s">
        <v>94</v>
      </c>
      <c r="C35" s="67"/>
      <c r="D35" s="67"/>
      <c r="E35" s="67"/>
      <c r="F35" s="67"/>
    </row>
  </sheetData>
  <mergeCells count="30">
    <mergeCell ref="B1:F1"/>
    <mergeCell ref="B2:F2"/>
    <mergeCell ref="B4:F4"/>
    <mergeCell ref="C5:F5"/>
    <mergeCell ref="C6:F6"/>
    <mergeCell ref="C7:F7"/>
    <mergeCell ref="C8:F8"/>
    <mergeCell ref="C9:F9"/>
    <mergeCell ref="C10:F10"/>
    <mergeCell ref="B12:F12"/>
    <mergeCell ref="C13:F13"/>
    <mergeCell ref="B18:F18"/>
    <mergeCell ref="D19:E19"/>
    <mergeCell ref="D20:E20"/>
    <mergeCell ref="D21:E21"/>
    <mergeCell ref="B23:F23"/>
    <mergeCell ref="D24:E24"/>
    <mergeCell ref="D25:E25"/>
    <mergeCell ref="D26:E26"/>
    <mergeCell ref="D27:E27"/>
    <mergeCell ref="B29:F29"/>
    <mergeCell ref="C30:D30"/>
    <mergeCell ref="E30:F30"/>
    <mergeCell ref="C31:D31"/>
    <mergeCell ref="E31:F31"/>
    <mergeCell ref="C32:D32"/>
    <mergeCell ref="E32:F32"/>
    <mergeCell ref="C33:D33"/>
    <mergeCell ref="E33:F33"/>
    <mergeCell ref="B35:F35"/>
  </mergeCells>
  <dataValidations count="2">
    <dataValidation allowBlank="false" errorStyle="stop" operator="between" showDropDown="false" showErrorMessage="true" showInputMessage="false" sqref="C6" type="list">
      <formula1>"Nivel 1 — Fracc. I (requerimiento SHCP),Nivel 1 — Fracc. II (Art. 18 incumplido),Nivel 1 — Fracc. III (aviso tardío ≤30 días),Nivel 1 — Fracc. IV (aviso con errores),Nivel 2 — Fracc. V (Beneficiario Controlador),Nivel 3 — Fracc. VI (omisión total / &gt;30 dí"</formula1>
      <formula2>0</formula2>
    </dataValidation>
    <dataValidation allowBlank="false" errorStyle="stop" operator="between" showDropDown="false" showErrorMessage="false" showInputMessage="false" sqref="C9:C1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7" min="4" style="0" width="22"/>
    <col collapsed="false" customWidth="true" hidden="false" outlineLevel="0" max="8" min="8" style="0" width="20"/>
  </cols>
  <sheetData>
    <row r="1" customFormat="false" ht="30" hidden="false" customHeight="true" outlineLevel="0" collapsed="false">
      <c r="B1" s="68" t="s">
        <v>95</v>
      </c>
      <c r="C1" s="68"/>
      <c r="D1" s="68"/>
      <c r="E1" s="68"/>
      <c r="F1" s="68"/>
      <c r="G1" s="68"/>
      <c r="H1" s="68"/>
    </row>
    <row r="2" customFormat="false" ht="7.5" hidden="false" customHeight="true" outlineLevel="0" collapsed="false"/>
    <row r="3" customFormat="false" ht="24" hidden="false" customHeight="true" outlineLevel="0" collapsed="false"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</row>
    <row r="4" customFormat="false" ht="30" hidden="false" customHeight="true" outlineLevel="0" collapsed="false">
      <c r="B4" s="69" t="s">
        <v>103</v>
      </c>
      <c r="C4" s="4" t="s">
        <v>104</v>
      </c>
      <c r="D4" s="6" t="s">
        <v>105</v>
      </c>
      <c r="E4" s="6" t="s">
        <v>106</v>
      </c>
      <c r="F4" s="70" t="n">
        <f aca="false">805*UMA</f>
        <v>94434.55</v>
      </c>
      <c r="G4" s="70" t="n">
        <f aca="false">1285*UMA</f>
        <v>150743.35</v>
      </c>
      <c r="H4" s="71" t="s">
        <v>107</v>
      </c>
    </row>
    <row r="5" customFormat="false" ht="30" hidden="false" customHeight="true" outlineLevel="0" collapsed="false">
      <c r="B5" s="72" t="s">
        <v>103</v>
      </c>
      <c r="C5" s="8" t="s">
        <v>108</v>
      </c>
      <c r="D5" s="10" t="s">
        <v>109</v>
      </c>
      <c r="E5" s="10" t="s">
        <v>109</v>
      </c>
      <c r="F5" s="73" t="n">
        <f aca="false">645*UMA</f>
        <v>75664.95</v>
      </c>
      <c r="G5" s="73" t="n">
        <f aca="false">645*UMA</f>
        <v>75664.95</v>
      </c>
      <c r="H5" s="74" t="s">
        <v>107</v>
      </c>
    </row>
    <row r="6" customFormat="false" ht="30" hidden="false" customHeight="true" outlineLevel="0" collapsed="false">
      <c r="B6" s="69" t="s">
        <v>110</v>
      </c>
      <c r="C6" s="4" t="s">
        <v>111</v>
      </c>
      <c r="D6" s="6" t="s">
        <v>112</v>
      </c>
      <c r="E6" s="6" t="s">
        <v>113</v>
      </c>
      <c r="F6" s="75" t="s">
        <v>112</v>
      </c>
      <c r="G6" s="70" t="n">
        <f aca="false">1605*UMA</f>
        <v>188282.55</v>
      </c>
      <c r="H6" s="71" t="s">
        <v>107</v>
      </c>
    </row>
    <row r="7" customFormat="false" ht="30" hidden="false" customHeight="true" outlineLevel="0" collapsed="false">
      <c r="B7" s="72" t="s">
        <v>114</v>
      </c>
      <c r="C7" s="8" t="s">
        <v>115</v>
      </c>
      <c r="D7" s="10" t="s">
        <v>112</v>
      </c>
      <c r="E7" s="10" t="s">
        <v>116</v>
      </c>
      <c r="F7" s="76" t="s">
        <v>112</v>
      </c>
      <c r="G7" s="73" t="n">
        <f aca="false">8025*UMA</f>
        <v>941412.75</v>
      </c>
      <c r="H7" s="77" t="s">
        <v>116</v>
      </c>
    </row>
    <row r="8" customFormat="false" ht="30" hidden="false" customHeight="true" outlineLevel="0" collapsed="false">
      <c r="B8" s="28" t="s">
        <v>117</v>
      </c>
      <c r="C8" s="4" t="s">
        <v>118</v>
      </c>
      <c r="D8" s="6" t="s">
        <v>119</v>
      </c>
      <c r="E8" s="6" t="s">
        <v>116</v>
      </c>
      <c r="F8" s="75" t="s">
        <v>119</v>
      </c>
      <c r="G8" s="70" t="n">
        <f aca="false">8025*UMA</f>
        <v>941412.75</v>
      </c>
      <c r="H8" s="78" t="s">
        <v>116</v>
      </c>
    </row>
    <row r="9" customFormat="false" ht="30" hidden="false" customHeight="true" outlineLevel="0" collapsed="false">
      <c r="B9" s="79" t="s">
        <v>120</v>
      </c>
      <c r="C9" s="8" t="s">
        <v>121</v>
      </c>
      <c r="D9" s="10" t="s">
        <v>122</v>
      </c>
      <c r="E9" s="10" t="s">
        <v>123</v>
      </c>
      <c r="F9" s="73" t="n">
        <f aca="false">3210*UMA</f>
        <v>376565.1</v>
      </c>
      <c r="G9" s="73" t="n">
        <f aca="false">6420*UMA</f>
        <v>753130.2</v>
      </c>
      <c r="H9" s="77" t="s">
        <v>124</v>
      </c>
    </row>
    <row r="10" customFormat="false" ht="30" hidden="false" customHeight="true" outlineLevel="0" collapsed="false">
      <c r="B10" s="69" t="s">
        <v>125</v>
      </c>
      <c r="C10" s="4" t="s">
        <v>126</v>
      </c>
      <c r="D10" s="6" t="s">
        <v>127</v>
      </c>
      <c r="E10" s="6" t="s">
        <v>128</v>
      </c>
      <c r="F10" s="70" t="n">
        <f aca="false">1605*UMA</f>
        <v>188282.55</v>
      </c>
      <c r="G10" s="70" t="n">
        <f aca="false">3210*UMA</f>
        <v>376565.1</v>
      </c>
      <c r="H10" s="71" t="s">
        <v>107</v>
      </c>
    </row>
    <row r="12" customFormat="false" ht="24" hidden="false" customHeight="true" outlineLevel="0" collapsed="false">
      <c r="B12" s="13" t="s">
        <v>129</v>
      </c>
      <c r="C12" s="13"/>
      <c r="D12" s="13"/>
      <c r="E12" s="13"/>
      <c r="F12" s="13"/>
      <c r="G12" s="13"/>
      <c r="H12" s="13"/>
    </row>
  </sheetData>
  <mergeCells count="2">
    <mergeCell ref="B1:H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2026-03-11T17:13:47Z</dcterms:created>
  <dc:creator>openpyxl</dc:creator>
  <dc:description/>
  <dc:language>en-US</dc:language>
  <cp:lastModifiedBy/>
  <dcterms:modified xsi:type="dcterms:W3CDTF">2026-03-11T17:13:47Z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